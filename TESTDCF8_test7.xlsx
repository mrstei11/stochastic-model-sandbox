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d3817d0f7987d/Desktop/stochastic_model_sandbox/"/>
    </mc:Choice>
  </mc:AlternateContent>
  <xr:revisionPtr revIDLastSave="68" documentId="8_{15C01B17-746E-4ABF-A7BF-674A9D12EB18}" xr6:coauthVersionLast="47" xr6:coauthVersionMax="47" xr10:uidLastSave="{8111480D-4B61-471E-AE4B-6293C3761C5F}"/>
  <bookViews>
    <workbookView xWindow="20" yWindow="20" windowWidth="23020" windowHeight="14620" xr2:uid="{1F92A932-4862-4E03-8261-7584EC3D15AE}"/>
  </bookViews>
  <sheets>
    <sheet name="Sheet1" sheetId="1" r:id="rId1"/>
    <sheet name="testing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3</definedName>
    <definedName name="solver_val" localSheetId="0" hidden="1">0.093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3" i="2"/>
  <c r="H22" i="1"/>
  <c r="D22" i="1" s="1"/>
  <c r="F22" i="1" s="1"/>
  <c r="H21" i="1"/>
  <c r="D21" i="1" s="1"/>
  <c r="F21" i="1" s="1"/>
  <c r="H20" i="1"/>
  <c r="D20" i="1" s="1"/>
  <c r="F20" i="1" s="1"/>
  <c r="H19" i="1"/>
  <c r="D19" i="1" s="1"/>
  <c r="F19" i="1" s="1"/>
  <c r="H18" i="1"/>
  <c r="D18" i="1" s="1"/>
  <c r="F18" i="1" s="1"/>
  <c r="H17" i="1"/>
  <c r="D17" i="1" s="1"/>
  <c r="F17" i="1" s="1"/>
  <c r="H16" i="1"/>
  <c r="D16" i="1" s="1"/>
  <c r="F16" i="1" s="1"/>
  <c r="H15" i="1"/>
  <c r="D15" i="1" s="1"/>
  <c r="F15" i="1" s="1"/>
  <c r="H14" i="1"/>
  <c r="D14" i="1" s="1"/>
  <c r="F14" i="1" s="1"/>
  <c r="H13" i="1"/>
  <c r="D13" i="1" s="1"/>
  <c r="F13" i="1" s="1"/>
  <c r="H12" i="1"/>
  <c r="D12" i="1" s="1"/>
  <c r="F12" i="1" s="1"/>
  <c r="H11" i="1"/>
  <c r="D11" i="1" s="1"/>
  <c r="F11" i="1" s="1"/>
  <c r="H10" i="1"/>
  <c r="D10" i="1" s="1"/>
  <c r="F10" i="1" s="1"/>
  <c r="H9" i="1"/>
  <c r="D9" i="1" s="1"/>
  <c r="F9" i="1" s="1"/>
  <c r="H8" i="1"/>
  <c r="D8" i="1" s="1"/>
  <c r="F8" i="1" s="1"/>
  <c r="H7" i="1"/>
  <c r="D7" i="1" s="1"/>
  <c r="F7" i="1" s="1"/>
  <c r="H6" i="1"/>
  <c r="D6" i="1" s="1"/>
  <c r="F6" i="1" s="1"/>
  <c r="H5" i="1"/>
  <c r="D5" i="1" s="1"/>
  <c r="F5" i="1" s="1"/>
  <c r="H4" i="1"/>
  <c r="D4" i="1" s="1"/>
  <c r="F4" i="1" s="1"/>
  <c r="H3" i="1"/>
  <c r="D3" i="1" s="1"/>
  <c r="F3" i="1" s="1"/>
  <c r="H2" i="1"/>
  <c r="D2" i="1" s="1"/>
  <c r="F2" i="1" s="1"/>
  <c r="D9" i="2" l="1"/>
  <c r="D6" i="2"/>
  <c r="D5" i="2"/>
  <c r="D4" i="2"/>
  <c r="D20" i="2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E14" i="2"/>
  <c r="F14" i="2" s="1"/>
  <c r="F11" i="2"/>
  <c r="G11" i="2" s="1"/>
  <c r="H11" i="2" s="1"/>
  <c r="I11" i="2" s="1"/>
  <c r="J11" i="2" s="1"/>
  <c r="K11" i="2" s="1"/>
  <c r="L11" i="2" s="1"/>
  <c r="M11" i="2" s="1"/>
  <c r="N11" i="2" s="1"/>
  <c r="O11" i="2" s="1"/>
  <c r="F12" i="2"/>
  <c r="G12" i="2" s="1"/>
  <c r="H12" i="2" s="1"/>
  <c r="I12" i="2" s="1"/>
  <c r="J12" i="2" s="1"/>
  <c r="K12" i="2" s="1"/>
  <c r="L12" i="2" s="1"/>
  <c r="M12" i="2" s="1"/>
  <c r="N12" i="2" s="1"/>
  <c r="O12" i="2" s="1"/>
  <c r="F16" i="2" l="1"/>
  <c r="G14" i="2"/>
  <c r="E16" i="2"/>
  <c r="D7" i="2" s="1"/>
  <c r="E17" i="2" l="1"/>
  <c r="E18" i="2" s="1"/>
  <c r="E20" i="2" s="1"/>
  <c r="D8" i="2"/>
  <c r="G16" i="2"/>
  <c r="H14" i="2"/>
  <c r="F17" i="2"/>
  <c r="F18" i="2" s="1"/>
  <c r="F20" i="2" s="1"/>
  <c r="I14" i="2" l="1"/>
  <c r="H16" i="2"/>
  <c r="G17" i="2"/>
  <c r="G18" i="2" s="1"/>
  <c r="G20" i="2" s="1"/>
  <c r="J14" i="2" l="1"/>
  <c r="I16" i="2"/>
  <c r="H17" i="2"/>
  <c r="H18" i="2" s="1"/>
  <c r="H20" i="2" s="1"/>
  <c r="I17" i="2" l="1"/>
  <c r="I18" i="2" s="1"/>
  <c r="I20" i="2" s="1"/>
  <c r="K14" i="2"/>
  <c r="J16" i="2"/>
  <c r="L14" i="2" l="1"/>
  <c r="K16" i="2"/>
  <c r="J17" i="2"/>
  <c r="J18" i="2" s="1"/>
  <c r="J20" i="2" s="1"/>
  <c r="M14" i="2" l="1"/>
  <c r="L16" i="2"/>
  <c r="K17" i="2"/>
  <c r="K18" i="2" s="1"/>
  <c r="K20" i="2" s="1"/>
  <c r="N14" i="2" l="1"/>
  <c r="M16" i="2"/>
  <c r="L17" i="2"/>
  <c r="L18" i="2" s="1"/>
  <c r="L20" i="2" s="1"/>
  <c r="O14" i="2" l="1"/>
  <c r="O16" i="2" s="1"/>
  <c r="N19" i="2" s="1"/>
  <c r="N16" i="2"/>
  <c r="M17" i="2"/>
  <c r="M18" i="2" s="1"/>
  <c r="M20" i="2" s="1"/>
  <c r="N17" i="2" l="1"/>
  <c r="N18" i="2" s="1"/>
  <c r="N20" i="2" s="1"/>
  <c r="O17" i="2"/>
  <c r="O18" i="2" s="1"/>
  <c r="D22" i="2" l="1"/>
</calcChain>
</file>

<file path=xl/sharedStrings.xml><?xml version="1.0" encoding="utf-8"?>
<sst xmlns="http://schemas.openxmlformats.org/spreadsheetml/2006/main" count="81" uniqueCount="57">
  <si>
    <t>value</t>
  </si>
  <si>
    <t>revenue</t>
  </si>
  <si>
    <t>drevenue</t>
  </si>
  <si>
    <t>expense</t>
  </si>
  <si>
    <t>dexpense</t>
  </si>
  <si>
    <t>noi</t>
  </si>
  <si>
    <t>caprate</t>
  </si>
  <si>
    <t>capspread</t>
  </si>
  <si>
    <t>proptype</t>
  </si>
  <si>
    <t>year</t>
  </si>
  <si>
    <t>capex</t>
  </si>
  <si>
    <t>stdevrev</t>
  </si>
  <si>
    <t>skewrev</t>
  </si>
  <si>
    <t>stdevexpense</t>
  </si>
  <si>
    <t>skewexpense</t>
  </si>
  <si>
    <t>stdevcapex</t>
  </si>
  <si>
    <t>skewcapex</t>
  </si>
  <si>
    <t>stdevcapspread</t>
  </si>
  <si>
    <t>skewcapspread</t>
  </si>
  <si>
    <t>Full-Service Hotels</t>
  </si>
  <si>
    <t>Limited-Service Hotels</t>
  </si>
  <si>
    <t>Seniors Housing (IL)</t>
  </si>
  <si>
    <t>Retail- Mall</t>
  </si>
  <si>
    <t>Retail- Strip/Neighborhood</t>
  </si>
  <si>
    <t>Data Centers</t>
  </si>
  <si>
    <t>Self Storage</t>
  </si>
  <si>
    <t>Medical Office</t>
  </si>
  <si>
    <t>Life Science</t>
  </si>
  <si>
    <t>Manufactured Housing</t>
  </si>
  <si>
    <t>Office (Excludes Life Science/Medical)</t>
  </si>
  <si>
    <t>Retail- Net Lease</t>
  </si>
  <si>
    <t>Retail- Grocery Anchored</t>
  </si>
  <si>
    <t>Single-Family Rentals</t>
  </si>
  <si>
    <t>Regional Warehouses</t>
  </si>
  <si>
    <t>Cold Storage</t>
  </si>
  <si>
    <t>Traditional Apartment</t>
  </si>
  <si>
    <t>55+ Housing</t>
  </si>
  <si>
    <t>Student Housing</t>
  </si>
  <si>
    <t>Moderate Income Housing</t>
  </si>
  <si>
    <t>Infill Warehouses</t>
  </si>
  <si>
    <t>Revenue</t>
  </si>
  <si>
    <t>Expense</t>
  </si>
  <si>
    <t>NOI</t>
  </si>
  <si>
    <t>CapEx</t>
  </si>
  <si>
    <t>CF</t>
  </si>
  <si>
    <t>Going-in Cap</t>
  </si>
  <si>
    <t>Exit Cap</t>
  </si>
  <si>
    <t>Total CF</t>
  </si>
  <si>
    <t>IRR</t>
  </si>
  <si>
    <t>Revenue Growth</t>
  </si>
  <si>
    <t>Expense Growth</t>
  </si>
  <si>
    <t>Expense Ratio</t>
  </si>
  <si>
    <t>Stated IRR</t>
  </si>
  <si>
    <t>T0</t>
  </si>
  <si>
    <t>Purchase</t>
  </si>
  <si>
    <t>Sale</t>
  </si>
  <si>
    <t>rev_exp_corr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</si>
</sst>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0" fontId="0" fillId="3" borderId="0" xfId="1" applyNumberFormat="1" applyFont="1" applyFill="1"/>
    <xf numFmtId="164" fontId="0" fillId="3" borderId="0" xfId="1" applyNumberFormat="1" applyFont="1" applyFill="1"/>
    <xf numFmtId="0" fontId="4" fillId="3" borderId="0" xfId="0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/>
    <xf numFmtId="10" fontId="4" fillId="3" borderId="0" xfId="1" applyNumberFormat="1" applyFont="1" applyFill="1"/>
    <xf numFmtId="0" fontId="4" fillId="3" borderId="0" xfId="0" applyFont="1" applyFill="1"/>
    <xf numFmtId="9" fontId="4" fillId="3" borderId="0" xfId="1" applyFont="1" applyFill="1"/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4" borderId="0" xfId="1" applyNumberFormat="1" applyFont="1" applyFill="1"/>
    <xf numFmtId="10" fontId="0" fillId="4" borderId="0" xfId="0" applyNumberFormat="1" applyFill="1" applyAlignment="1">
      <alignment horizontal="center"/>
    </xf>
    <xf numFmtId="10" fontId="0" fillId="4" borderId="0" xfId="0" applyNumberFormat="1" applyFill="1"/>
    <xf numFmtId="9" fontId="0" fillId="4" borderId="0" xfId="0" applyNumberFormat="1" applyFill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164" fontId="5" fillId="3" borderId="4" xfId="1" applyNumberFormat="1" applyFont="1" applyFill="1" applyBorder="1"/>
    <xf numFmtId="164" fontId="5" fillId="3" borderId="6" xfId="1" applyNumberFormat="1" applyFont="1" applyFill="1" applyBorder="1"/>
    <xf numFmtId="164" fontId="5" fillId="3" borderId="8" xfId="1" applyNumberFormat="1" applyFont="1" applyFill="1" applyBorder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9" xfId="0" applyFont="1" applyFill="1" applyBorder="1"/>
    <xf numFmtId="0" fontId="2" fillId="4" borderId="0" xfId="0" applyFont="1" applyFill="1"/>
    <xf numFmtId="166" fontId="0" fillId="3" borderId="0" xfId="0" applyNumberFormat="1" applyFill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6" fillId="3" borderId="9" xfId="0" applyNumberFormat="1" applyFont="1" applyFill="1" applyBorder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2" fillId="3" borderId="0" xfId="0" applyFont="1" applyFill="1"/>
    <xf numFmtId="10" fontId="2" fillId="3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2" fillId="3" borderId="1" xfId="0" applyFont="1" applyFill="1" applyBorder="1"/>
    <xf numFmtId="10" fontId="2" fillId="3" borderId="1" xfId="1" applyNumberFormat="1" applyFont="1" applyFill="1" applyBorder="1" applyAlignment="1">
      <alignment horizontal="center"/>
    </xf>
    <xf numFmtId="10" fontId="4" fillId="3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F3CE-8871-43BD-B6FC-D316A08E48F7}">
  <dimension ref="A1:V50"/>
  <sheetViews>
    <sheetView tabSelected="1" zoomScaleNormal="10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R2" sqref="R2:R22"/>
    </sheetView>
  </sheetViews>
  <sheetFormatPr defaultColWidth="8.7265625" defaultRowHeight="14.5" x14ac:dyDescent="0.35"/>
  <cols>
    <col min="1" max="1" width="34.81640625" style="15" bestFit="1" customWidth="1"/>
    <col min="2" max="11" width="19.7265625" style="16" customWidth="1"/>
    <col min="12" max="13" width="8.7265625" style="15"/>
    <col min="14" max="14" width="12.1796875" style="15" bestFit="1" customWidth="1"/>
    <col min="15" max="15" width="12" style="15" bestFit="1" customWidth="1"/>
    <col min="16" max="17" width="10.1796875" style="15" bestFit="1" customWidth="1"/>
    <col min="18" max="18" width="14.453125" style="15" bestFit="1" customWidth="1"/>
    <col min="19" max="19" width="14.26953125" style="15" bestFit="1" customWidth="1"/>
    <col min="20" max="20" width="13.26953125" style="15" bestFit="1" customWidth="1"/>
    <col min="21" max="16384" width="8.7265625" style="15"/>
  </cols>
  <sheetData>
    <row r="1" spans="1:22" x14ac:dyDescent="0.35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10</v>
      </c>
      <c r="J1" s="2" t="s">
        <v>6</v>
      </c>
      <c r="K1" s="2" t="s">
        <v>7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51</v>
      </c>
      <c r="U1" s="2" t="s">
        <v>48</v>
      </c>
      <c r="V1" s="15" t="s">
        <v>56</v>
      </c>
    </row>
    <row r="2" spans="1:22" x14ac:dyDescent="0.35">
      <c r="A2" s="1" t="s">
        <v>19</v>
      </c>
      <c r="B2" s="2">
        <v>2026</v>
      </c>
      <c r="C2" s="7">
        <v>100</v>
      </c>
      <c r="D2" s="3">
        <f>H2/(1-T2)</f>
        <v>36.666666666666671</v>
      </c>
      <c r="E2" s="8">
        <v>2.75E-2</v>
      </c>
      <c r="F2" s="4">
        <f>D2*T2</f>
        <v>25.666666666666671</v>
      </c>
      <c r="G2" s="8">
        <f>MIN(E2,3%)</f>
        <v>2.75E-2</v>
      </c>
      <c r="H2" s="4">
        <f>J2*C2</f>
        <v>11</v>
      </c>
      <c r="I2" s="9">
        <v>0.384184402635523</v>
      </c>
      <c r="J2" s="10">
        <v>0.11</v>
      </c>
      <c r="K2" s="8">
        <v>5.0000000000000001E-3</v>
      </c>
      <c r="L2" s="11">
        <v>0.11</v>
      </c>
      <c r="M2" s="7">
        <v>0</v>
      </c>
      <c r="N2" s="11">
        <v>0.1</v>
      </c>
      <c r="O2" s="7">
        <v>0</v>
      </c>
      <c r="P2" s="12">
        <v>0.1920922013177615</v>
      </c>
      <c r="Q2" s="13">
        <v>0</v>
      </c>
      <c r="R2" s="43">
        <v>2.0360350101466994E-2</v>
      </c>
      <c r="S2" s="13">
        <v>-10</v>
      </c>
      <c r="T2" s="14">
        <v>0.70000000000000007</v>
      </c>
      <c r="U2" s="6">
        <v>9.9375000000000005E-2</v>
      </c>
      <c r="V2" s="15">
        <v>0.85</v>
      </c>
    </row>
    <row r="3" spans="1:22" x14ac:dyDescent="0.35">
      <c r="A3" s="1" t="s">
        <v>20</v>
      </c>
      <c r="B3" s="2">
        <v>2026</v>
      </c>
      <c r="C3" s="7">
        <v>100</v>
      </c>
      <c r="D3" s="3">
        <f>H3/(1-T3)</f>
        <v>17.400000000000002</v>
      </c>
      <c r="E3" s="8">
        <v>2.75E-2</v>
      </c>
      <c r="F3" s="4">
        <f>D3*T3</f>
        <v>8.7000000000000011</v>
      </c>
      <c r="G3" s="8">
        <f t="shared" ref="G3:G22" si="0">MIN(E3,3%)</f>
        <v>2.75E-2</v>
      </c>
      <c r="H3" s="4">
        <f t="shared" ref="H3:H22" si="1">J3*C3</f>
        <v>8.7000000000000011</v>
      </c>
      <c r="I3" s="9">
        <v>0.25612293509034867</v>
      </c>
      <c r="J3" s="10">
        <v>8.7000000000000008E-2</v>
      </c>
      <c r="K3" s="8">
        <v>5.0000000000000001E-3</v>
      </c>
      <c r="L3" s="11">
        <v>0.11</v>
      </c>
      <c r="M3" s="7">
        <v>0</v>
      </c>
      <c r="N3" s="11">
        <v>0.1</v>
      </c>
      <c r="O3" s="7">
        <v>0</v>
      </c>
      <c r="P3" s="12">
        <v>0.12806146754517433</v>
      </c>
      <c r="Q3" s="13">
        <v>0</v>
      </c>
      <c r="R3" s="11">
        <v>1.8324315091320296E-2</v>
      </c>
      <c r="S3" s="13">
        <v>0</v>
      </c>
      <c r="T3" s="14">
        <v>0.5</v>
      </c>
      <c r="U3" s="6">
        <v>9.2968749999999975E-2</v>
      </c>
      <c r="V3" s="15">
        <v>0.75</v>
      </c>
    </row>
    <row r="4" spans="1:22" x14ac:dyDescent="0.35">
      <c r="A4" s="1" t="s">
        <v>21</v>
      </c>
      <c r="B4" s="2">
        <v>2026</v>
      </c>
      <c r="C4" s="7">
        <v>100</v>
      </c>
      <c r="D4" s="3">
        <f>H4/(1-T4)</f>
        <v>11.700000000000001</v>
      </c>
      <c r="E4" s="8">
        <v>0.04</v>
      </c>
      <c r="F4" s="4">
        <f>D4*T4</f>
        <v>5.8500000000000005</v>
      </c>
      <c r="G4" s="8">
        <f t="shared" si="0"/>
        <v>0.03</v>
      </c>
      <c r="H4" s="4">
        <f t="shared" si="1"/>
        <v>5.8500000000000005</v>
      </c>
      <c r="I4" s="9">
        <v>0.23006214435337946</v>
      </c>
      <c r="J4" s="10">
        <v>5.8500000000000003E-2</v>
      </c>
      <c r="K4" s="8">
        <v>3.0000000000000001E-3</v>
      </c>
      <c r="L4" s="11">
        <v>0.08</v>
      </c>
      <c r="M4" s="7">
        <v>50</v>
      </c>
      <c r="N4" s="11">
        <v>0.08</v>
      </c>
      <c r="O4" s="7">
        <v>0</v>
      </c>
      <c r="P4" s="12">
        <v>0.11503107217668973</v>
      </c>
      <c r="Q4" s="13">
        <v>0</v>
      </c>
      <c r="R4" s="43">
        <v>7.5678144908769823E-3</v>
      </c>
      <c r="S4" s="13">
        <v>0</v>
      </c>
      <c r="T4" s="14">
        <v>0.5</v>
      </c>
      <c r="U4" s="6">
        <v>8.3026315789473684E-2</v>
      </c>
      <c r="V4" s="15">
        <v>0.6</v>
      </c>
    </row>
    <row r="5" spans="1:22" x14ac:dyDescent="0.35">
      <c r="A5" s="1" t="s">
        <v>22</v>
      </c>
      <c r="B5" s="2">
        <v>2026</v>
      </c>
      <c r="C5" s="7">
        <v>100</v>
      </c>
      <c r="D5" s="3">
        <f>H5/(1-T5)</f>
        <v>13.692307692307692</v>
      </c>
      <c r="E5" s="8">
        <v>2.5000000000000001E-2</v>
      </c>
      <c r="F5" s="4">
        <f t="shared" ref="F5:F22" si="2">D5*T5</f>
        <v>4.7923076923076922</v>
      </c>
      <c r="G5" s="8">
        <f t="shared" si="0"/>
        <v>2.5000000000000001E-2</v>
      </c>
      <c r="H5" s="4">
        <f t="shared" si="1"/>
        <v>8.9</v>
      </c>
      <c r="I5" s="9">
        <v>0.17444882907547399</v>
      </c>
      <c r="J5" s="10">
        <v>8.900000000000001E-2</v>
      </c>
      <c r="K5" s="8">
        <v>3.0000000000000001E-3</v>
      </c>
      <c r="L5" s="11">
        <v>7.4401329175897923E-2</v>
      </c>
      <c r="M5" s="7">
        <v>30</v>
      </c>
      <c r="N5" s="11">
        <v>0.11637153744591951</v>
      </c>
      <c r="O5" s="7">
        <v>0</v>
      </c>
      <c r="P5" s="12">
        <v>8.7224414537736994E-2</v>
      </c>
      <c r="Q5" s="13">
        <v>0</v>
      </c>
      <c r="R5" s="43">
        <v>1.3222717756115138E-2</v>
      </c>
      <c r="S5" s="13">
        <v>0</v>
      </c>
      <c r="T5" s="14">
        <v>0.35</v>
      </c>
      <c r="U5" s="6">
        <v>0.10181818181818181</v>
      </c>
      <c r="V5" s="15">
        <v>0.35</v>
      </c>
    </row>
    <row r="6" spans="1:22" x14ac:dyDescent="0.35">
      <c r="A6" s="1" t="s">
        <v>23</v>
      </c>
      <c r="B6" s="2">
        <v>2026</v>
      </c>
      <c r="C6" s="7">
        <v>100</v>
      </c>
      <c r="D6" s="3">
        <f>H6/(1-T6)</f>
        <v>10.153846153846155</v>
      </c>
      <c r="E6" s="8">
        <v>2.75E-2</v>
      </c>
      <c r="F6" s="4">
        <f t="shared" si="2"/>
        <v>3.5538461538461541</v>
      </c>
      <c r="G6" s="8">
        <f t="shared" si="0"/>
        <v>2.75E-2</v>
      </c>
      <c r="H6" s="4">
        <f t="shared" si="1"/>
        <v>6.6000000000000005</v>
      </c>
      <c r="I6" s="9">
        <v>0.21904727112801436</v>
      </c>
      <c r="J6" s="10">
        <v>6.6000000000000003E-2</v>
      </c>
      <c r="K6" s="8">
        <v>3.0000000000000001E-3</v>
      </c>
      <c r="L6" s="11">
        <v>7.9412471600111847E-2</v>
      </c>
      <c r="M6" s="7">
        <v>0</v>
      </c>
      <c r="N6" s="11">
        <v>0.116819933560842</v>
      </c>
      <c r="O6" s="7">
        <v>0</v>
      </c>
      <c r="P6" s="12">
        <v>0.10952363556400718</v>
      </c>
      <c r="Q6" s="13">
        <v>0</v>
      </c>
      <c r="R6" s="43">
        <v>1.423556862804164E-2</v>
      </c>
      <c r="S6" s="13">
        <v>0</v>
      </c>
      <c r="T6" s="14">
        <v>0.35</v>
      </c>
      <c r="U6" s="6">
        <v>7.9166666666666677E-2</v>
      </c>
      <c r="V6" s="15">
        <v>0.7</v>
      </c>
    </row>
    <row r="7" spans="1:22" x14ac:dyDescent="0.35">
      <c r="A7" s="1" t="s">
        <v>24</v>
      </c>
      <c r="B7" s="2">
        <v>2026</v>
      </c>
      <c r="C7" s="7">
        <v>100</v>
      </c>
      <c r="D7" s="3">
        <f t="shared" ref="D7:D22" si="3">H7/(1-T7)</f>
        <v>8</v>
      </c>
      <c r="E7" s="8">
        <v>0.04</v>
      </c>
      <c r="F7" s="4">
        <f t="shared" si="2"/>
        <v>3.2</v>
      </c>
      <c r="G7" s="8">
        <f t="shared" si="0"/>
        <v>0.03</v>
      </c>
      <c r="H7" s="4">
        <f t="shared" si="1"/>
        <v>4.8</v>
      </c>
      <c r="I7" s="9">
        <v>0.20945045307852123</v>
      </c>
      <c r="J7" s="10">
        <v>4.7999999999999994E-2</v>
      </c>
      <c r="K7" s="8">
        <v>3.0000000000000001E-3</v>
      </c>
      <c r="L7" s="11">
        <v>0.08</v>
      </c>
      <c r="M7" s="7">
        <v>0</v>
      </c>
      <c r="N7" s="11">
        <v>0.08</v>
      </c>
      <c r="O7" s="7">
        <v>0</v>
      </c>
      <c r="P7" s="12">
        <v>0.10472522653926061</v>
      </c>
      <c r="Q7" s="13">
        <v>0</v>
      </c>
      <c r="R7" s="43">
        <v>1.3842700014923714E-2</v>
      </c>
      <c r="S7" s="13">
        <v>10</v>
      </c>
      <c r="T7" s="14">
        <v>0.4</v>
      </c>
      <c r="U7" s="6">
        <v>7.2500000000000009E-2</v>
      </c>
      <c r="V7" s="15">
        <v>0.75</v>
      </c>
    </row>
    <row r="8" spans="1:22" x14ac:dyDescent="0.35">
      <c r="A8" s="1" t="s">
        <v>25</v>
      </c>
      <c r="B8" s="2">
        <v>2026</v>
      </c>
      <c r="C8" s="7">
        <v>100</v>
      </c>
      <c r="D8" s="3">
        <f t="shared" si="3"/>
        <v>8.071428571428573</v>
      </c>
      <c r="E8" s="8">
        <v>0.03</v>
      </c>
      <c r="F8" s="4">
        <f t="shared" si="2"/>
        <v>2.4214285714285717</v>
      </c>
      <c r="G8" s="8">
        <f t="shared" si="0"/>
        <v>0.03</v>
      </c>
      <c r="H8" s="4">
        <f t="shared" si="1"/>
        <v>5.65</v>
      </c>
      <c r="I8" s="9">
        <v>7.691909409828579E-2</v>
      </c>
      <c r="J8" s="10">
        <v>5.6500000000000002E-2</v>
      </c>
      <c r="K8" s="8">
        <v>3.0000000000000001E-3</v>
      </c>
      <c r="L8" s="11">
        <v>8.8811954119754566E-2</v>
      </c>
      <c r="M8" s="7">
        <v>20</v>
      </c>
      <c r="N8" s="11">
        <v>8.7257114247276224E-2</v>
      </c>
      <c r="O8" s="7">
        <v>0</v>
      </c>
      <c r="P8" s="12">
        <v>3.8459547049142895E-2</v>
      </c>
      <c r="Q8" s="13">
        <v>0</v>
      </c>
      <c r="R8" s="43">
        <v>1.0788412907875865E-2</v>
      </c>
      <c r="S8" s="13">
        <v>0</v>
      </c>
      <c r="T8" s="14">
        <v>0.3</v>
      </c>
      <c r="U8" s="6">
        <v>7.9218749999999991E-2</v>
      </c>
      <c r="V8" s="15">
        <v>0.3</v>
      </c>
    </row>
    <row r="9" spans="1:22" x14ac:dyDescent="0.35">
      <c r="A9" s="1" t="s">
        <v>26</v>
      </c>
      <c r="B9" s="2">
        <v>2026</v>
      </c>
      <c r="C9" s="7">
        <v>100</v>
      </c>
      <c r="D9" s="3">
        <f t="shared" si="3"/>
        <v>13.454545454545455</v>
      </c>
      <c r="E9" s="8">
        <v>3.2500000000000001E-2</v>
      </c>
      <c r="F9" s="4">
        <f t="shared" si="2"/>
        <v>6.0545454545454547</v>
      </c>
      <c r="G9" s="8">
        <f t="shared" si="0"/>
        <v>0.03</v>
      </c>
      <c r="H9" s="4">
        <f t="shared" si="1"/>
        <v>7.4000000000000012</v>
      </c>
      <c r="I9" s="9">
        <v>0.17499193126842194</v>
      </c>
      <c r="J9" s="10">
        <v>7.400000000000001E-2</v>
      </c>
      <c r="K9" s="8">
        <v>3.0000000000000001E-3</v>
      </c>
      <c r="L9" s="11">
        <v>7.176577898794545E-2</v>
      </c>
      <c r="M9" s="7">
        <v>30</v>
      </c>
      <c r="N9" s="11">
        <v>6.8554095678889176E-2</v>
      </c>
      <c r="O9" s="7">
        <v>0</v>
      </c>
      <c r="P9" s="12">
        <v>8.749596563421097E-2</v>
      </c>
      <c r="Q9" s="13">
        <v>0</v>
      </c>
      <c r="R9" s="43">
        <v>6.0152990046534365E-3</v>
      </c>
      <c r="S9" s="13">
        <v>0</v>
      </c>
      <c r="T9" s="14">
        <v>0.45</v>
      </c>
      <c r="U9" s="6">
        <v>9.2142857142857151E-2</v>
      </c>
      <c r="V9" s="15">
        <v>0.6</v>
      </c>
    </row>
    <row r="10" spans="1:22" x14ac:dyDescent="0.35">
      <c r="A10" s="1" t="s">
        <v>27</v>
      </c>
      <c r="B10" s="2">
        <v>2026</v>
      </c>
      <c r="C10" s="7">
        <v>100</v>
      </c>
      <c r="D10" s="3">
        <f t="shared" si="3"/>
        <v>14.90909090909091</v>
      </c>
      <c r="E10" s="8">
        <v>2.1499999999999998E-2</v>
      </c>
      <c r="F10" s="4">
        <f t="shared" si="2"/>
        <v>6.7090909090909099</v>
      </c>
      <c r="G10" s="8">
        <f t="shared" si="0"/>
        <v>2.1499999999999998E-2</v>
      </c>
      <c r="H10" s="4">
        <f t="shared" si="1"/>
        <v>8.2000000000000011</v>
      </c>
      <c r="I10" s="9">
        <v>0.25025984428302184</v>
      </c>
      <c r="J10" s="10">
        <v>8.2000000000000003E-2</v>
      </c>
      <c r="K10" s="8">
        <v>0</v>
      </c>
      <c r="L10" s="11">
        <v>0.10525647584898666</v>
      </c>
      <c r="M10" s="7">
        <v>0</v>
      </c>
      <c r="N10" s="11">
        <v>0.10054600699570412</v>
      </c>
      <c r="O10" s="7">
        <v>0</v>
      </c>
      <c r="P10" s="12">
        <v>0.12512992214151092</v>
      </c>
      <c r="Q10" s="13">
        <v>0</v>
      </c>
      <c r="R10" s="43">
        <v>1.5824207512667533E-2</v>
      </c>
      <c r="S10" s="13">
        <v>0</v>
      </c>
      <c r="T10" s="14">
        <v>0.45</v>
      </c>
      <c r="U10" s="6">
        <v>8.9253090659340659E-2</v>
      </c>
      <c r="V10" s="15">
        <v>0.7</v>
      </c>
    </row>
    <row r="11" spans="1:22" x14ac:dyDescent="0.35">
      <c r="A11" s="1" t="s">
        <v>28</v>
      </c>
      <c r="B11" s="2">
        <v>2026</v>
      </c>
      <c r="C11" s="7">
        <v>100</v>
      </c>
      <c r="D11" s="3">
        <f t="shared" si="3"/>
        <v>7.7333333333333334</v>
      </c>
      <c r="E11" s="8">
        <v>3.1E-2</v>
      </c>
      <c r="F11" s="4">
        <f t="shared" si="2"/>
        <v>1.9333333333333333</v>
      </c>
      <c r="G11" s="8">
        <f t="shared" si="0"/>
        <v>0.03</v>
      </c>
      <c r="H11" s="4">
        <f t="shared" si="1"/>
        <v>5.8</v>
      </c>
      <c r="I11" s="9">
        <v>0.16624084871360478</v>
      </c>
      <c r="J11" s="10">
        <v>5.7999999999999996E-2</v>
      </c>
      <c r="K11" s="8">
        <v>2E-3</v>
      </c>
      <c r="L11" s="11">
        <v>4.7061475127103278E-2</v>
      </c>
      <c r="M11" s="7">
        <v>0</v>
      </c>
      <c r="N11" s="11">
        <v>0.1051199775910371</v>
      </c>
      <c r="O11" s="7">
        <v>0</v>
      </c>
      <c r="P11" s="12">
        <v>8.3120424356802391E-2</v>
      </c>
      <c r="Q11" s="13">
        <v>0</v>
      </c>
      <c r="R11" s="43">
        <v>9.0793218031574897E-3</v>
      </c>
      <c r="S11" s="13">
        <v>0</v>
      </c>
      <c r="T11" s="14">
        <v>0.25</v>
      </c>
      <c r="U11" s="6">
        <v>7.7343749999999975E-2</v>
      </c>
      <c r="V11" s="15">
        <v>0.3</v>
      </c>
    </row>
    <row r="12" spans="1:22" x14ac:dyDescent="0.35">
      <c r="A12" s="1" t="s">
        <v>29</v>
      </c>
      <c r="B12" s="2">
        <v>2026</v>
      </c>
      <c r="C12" s="7">
        <v>100</v>
      </c>
      <c r="D12" s="3">
        <f t="shared" si="3"/>
        <v>23.7</v>
      </c>
      <c r="E12" s="8">
        <v>3.2500000000000001E-2</v>
      </c>
      <c r="F12" s="4">
        <f t="shared" si="2"/>
        <v>11.85</v>
      </c>
      <c r="G12" s="8">
        <f t="shared" si="0"/>
        <v>0.03</v>
      </c>
      <c r="H12" s="4">
        <f t="shared" si="1"/>
        <v>11.85</v>
      </c>
      <c r="I12" s="9">
        <v>0.4411390603968347</v>
      </c>
      <c r="J12" s="10">
        <v>0.11849999999999999</v>
      </c>
      <c r="K12" s="8">
        <v>0</v>
      </c>
      <c r="L12" s="11">
        <v>9.5687705317260591E-2</v>
      </c>
      <c r="M12" s="7">
        <v>50</v>
      </c>
      <c r="N12" s="11">
        <v>9.1405460905185559E-2</v>
      </c>
      <c r="O12" s="7">
        <v>0</v>
      </c>
      <c r="P12" s="12">
        <v>0.22056953019841735</v>
      </c>
      <c r="Q12" s="13">
        <v>0</v>
      </c>
      <c r="R12" s="43">
        <v>1.5076947162240225E-2</v>
      </c>
      <c r="S12" s="13">
        <v>0</v>
      </c>
      <c r="T12" s="14">
        <v>0.5</v>
      </c>
      <c r="U12" s="6">
        <v>0.10006410256410257</v>
      </c>
      <c r="V12" s="15">
        <v>0.45</v>
      </c>
    </row>
    <row r="13" spans="1:22" x14ac:dyDescent="0.35">
      <c r="A13" s="1" t="s">
        <v>30</v>
      </c>
      <c r="B13" s="2">
        <v>2026</v>
      </c>
      <c r="C13" s="7">
        <v>100</v>
      </c>
      <c r="D13" s="3">
        <f t="shared" si="3"/>
        <v>7.2222222222222223</v>
      </c>
      <c r="E13" s="8">
        <v>0.02</v>
      </c>
      <c r="F13" s="4">
        <f t="shared" si="2"/>
        <v>0.72222222222222232</v>
      </c>
      <c r="G13" s="8">
        <f t="shared" si="0"/>
        <v>0.02</v>
      </c>
      <c r="H13" s="4">
        <f t="shared" si="1"/>
        <v>6.5</v>
      </c>
      <c r="I13" s="9">
        <v>3.3490175169447189E-2</v>
      </c>
      <c r="J13" s="10">
        <v>6.5000000000000002E-2</v>
      </c>
      <c r="K13" s="8">
        <v>6.4999999999999997E-3</v>
      </c>
      <c r="L13" s="11">
        <v>5.9559353700083889E-2</v>
      </c>
      <c r="M13" s="7">
        <v>0</v>
      </c>
      <c r="N13" s="11">
        <v>0.06</v>
      </c>
      <c r="O13" s="7">
        <v>0</v>
      </c>
      <c r="P13" s="12">
        <v>1.6745087584723595E-2</v>
      </c>
      <c r="Q13" s="13">
        <v>0</v>
      </c>
      <c r="R13" s="11">
        <v>1.1196380280279214E-2</v>
      </c>
      <c r="S13" s="13">
        <v>0</v>
      </c>
      <c r="T13" s="14">
        <v>0.1</v>
      </c>
      <c r="U13" s="6">
        <v>7.3571428571428552E-2</v>
      </c>
      <c r="V13" s="15">
        <v>0.2</v>
      </c>
    </row>
    <row r="14" spans="1:22" x14ac:dyDescent="0.35">
      <c r="A14" s="1" t="s">
        <v>31</v>
      </c>
      <c r="B14" s="2">
        <v>2026</v>
      </c>
      <c r="C14" s="7">
        <v>100</v>
      </c>
      <c r="D14" s="3">
        <f t="shared" si="3"/>
        <v>9.2307692307692299</v>
      </c>
      <c r="E14" s="8">
        <v>2.75E-2</v>
      </c>
      <c r="F14" s="4">
        <f t="shared" si="2"/>
        <v>3.2307692307692304</v>
      </c>
      <c r="G14" s="8">
        <f t="shared" si="0"/>
        <v>2.75E-2</v>
      </c>
      <c r="H14" s="4">
        <f t="shared" si="1"/>
        <v>6</v>
      </c>
      <c r="I14" s="9">
        <v>0.21904727112801436</v>
      </c>
      <c r="J14" s="10">
        <v>0.06</v>
      </c>
      <c r="K14" s="8">
        <v>3.0000000000000001E-3</v>
      </c>
      <c r="L14" s="11">
        <v>6.9485912650097875E-2</v>
      </c>
      <c r="M14" s="7">
        <v>-30</v>
      </c>
      <c r="N14" s="11">
        <v>0.10221744186573675</v>
      </c>
      <c r="O14" s="7">
        <v>0</v>
      </c>
      <c r="P14" s="12">
        <v>0.10952363556400718</v>
      </c>
      <c r="Q14" s="13">
        <v>0</v>
      </c>
      <c r="R14" s="43">
        <v>1.3995475350349016E-2</v>
      </c>
      <c r="S14" s="13">
        <v>0</v>
      </c>
      <c r="T14" s="14">
        <v>0.35</v>
      </c>
      <c r="U14" s="6">
        <v>7.3881578947368423E-2</v>
      </c>
      <c r="V14" s="15">
        <v>0.65</v>
      </c>
    </row>
    <row r="15" spans="1:22" x14ac:dyDescent="0.35">
      <c r="A15" s="1" t="s">
        <v>32</v>
      </c>
      <c r="B15" s="2">
        <v>2026</v>
      </c>
      <c r="C15" s="7">
        <v>100</v>
      </c>
      <c r="D15" s="3">
        <f t="shared" si="3"/>
        <v>10</v>
      </c>
      <c r="E15" s="8">
        <v>2.75E-2</v>
      </c>
      <c r="F15" s="4">
        <f t="shared" si="2"/>
        <v>3.5</v>
      </c>
      <c r="G15" s="8">
        <f t="shared" si="0"/>
        <v>2.75E-2</v>
      </c>
      <c r="H15" s="4">
        <f t="shared" si="1"/>
        <v>6.5</v>
      </c>
      <c r="I15" s="9">
        <v>0.1874697436145995</v>
      </c>
      <c r="J15" s="10">
        <v>6.5000000000000002E-2</v>
      </c>
      <c r="K15" s="8">
        <v>3.0000000000000001E-3</v>
      </c>
      <c r="L15" s="11">
        <v>5.6784961277348271E-2</v>
      </c>
      <c r="M15" s="7">
        <v>0</v>
      </c>
      <c r="N15" s="11">
        <v>8.3550112106194549E-2</v>
      </c>
      <c r="O15" s="7">
        <v>0</v>
      </c>
      <c r="P15" s="12">
        <v>9.3734871807299752E-2</v>
      </c>
      <c r="Q15" s="13">
        <v>0</v>
      </c>
      <c r="R15" s="43">
        <v>1.1243393073973561E-2</v>
      </c>
      <c r="S15" s="13">
        <v>0</v>
      </c>
      <c r="T15" s="14">
        <v>0.35</v>
      </c>
      <c r="U15" s="6">
        <v>8.0520833333333333E-2</v>
      </c>
      <c r="V15" s="15">
        <v>0.35</v>
      </c>
    </row>
    <row r="16" spans="1:22" x14ac:dyDescent="0.35">
      <c r="A16" s="1" t="s">
        <v>33</v>
      </c>
      <c r="B16" s="2">
        <v>2026</v>
      </c>
      <c r="C16" s="7">
        <v>100</v>
      </c>
      <c r="D16" s="3">
        <f t="shared" si="3"/>
        <v>8.2857142857142865</v>
      </c>
      <c r="E16" s="8">
        <v>2.75E-2</v>
      </c>
      <c r="F16" s="4">
        <f t="shared" si="2"/>
        <v>2.4857142857142858</v>
      </c>
      <c r="G16" s="8">
        <f t="shared" si="0"/>
        <v>2.75E-2</v>
      </c>
      <c r="H16" s="4">
        <f t="shared" si="1"/>
        <v>5.8000000000000007</v>
      </c>
      <c r="I16" s="9">
        <v>0.13648400911342362</v>
      </c>
      <c r="J16" s="10">
        <v>5.8000000000000003E-2</v>
      </c>
      <c r="K16" s="8">
        <v>3.0000000000000001E-3</v>
      </c>
      <c r="L16" s="11">
        <v>7.8951133700901288E-2</v>
      </c>
      <c r="M16" s="7">
        <v>0</v>
      </c>
      <c r="N16" s="11">
        <v>0.1341080850889626</v>
      </c>
      <c r="O16" s="7">
        <v>0</v>
      </c>
      <c r="P16" s="12">
        <v>6.8242004556711811E-2</v>
      </c>
      <c r="Q16" s="13">
        <v>0</v>
      </c>
      <c r="R16" s="43">
        <v>1.2923487225591066E-2</v>
      </c>
      <c r="S16" s="13">
        <v>0</v>
      </c>
      <c r="T16" s="14">
        <v>0.3</v>
      </c>
      <c r="U16" s="6">
        <v>7.6875000000000013E-2</v>
      </c>
      <c r="V16" s="15">
        <v>0.7</v>
      </c>
    </row>
    <row r="17" spans="1:22" x14ac:dyDescent="0.35">
      <c r="A17" s="1" t="s">
        <v>34</v>
      </c>
      <c r="B17" s="2">
        <v>2026</v>
      </c>
      <c r="C17" s="7">
        <v>100</v>
      </c>
      <c r="D17" s="3">
        <f t="shared" si="3"/>
        <v>13.4</v>
      </c>
      <c r="E17" s="8">
        <v>2.5000000000000001E-2</v>
      </c>
      <c r="F17" s="4">
        <f t="shared" si="2"/>
        <v>6.7</v>
      </c>
      <c r="G17" s="8">
        <f t="shared" si="0"/>
        <v>2.5000000000000001E-2</v>
      </c>
      <c r="H17" s="4">
        <f t="shared" si="1"/>
        <v>6.7</v>
      </c>
      <c r="I17" s="9">
        <v>0.16337438608075139</v>
      </c>
      <c r="J17" s="10">
        <v>6.7000000000000004E-2</v>
      </c>
      <c r="K17" s="8">
        <v>3.5000000000000001E-3</v>
      </c>
      <c r="L17" s="11">
        <v>9.4475566850450637E-2</v>
      </c>
      <c r="M17" s="7">
        <v>0</v>
      </c>
      <c r="N17" s="11">
        <v>0.12205404254448129</v>
      </c>
      <c r="O17" s="7">
        <v>0</v>
      </c>
      <c r="P17" s="12">
        <v>8.1687193040375694E-2</v>
      </c>
      <c r="Q17" s="13">
        <v>0</v>
      </c>
      <c r="R17" s="43">
        <v>6.9337067142273027E-3</v>
      </c>
      <c r="S17" s="13">
        <v>0</v>
      </c>
      <c r="T17" s="14">
        <v>0.5</v>
      </c>
      <c r="U17" s="6">
        <v>8.4062500000000026E-2</v>
      </c>
      <c r="V17" s="15">
        <v>0.65</v>
      </c>
    </row>
    <row r="18" spans="1:22" x14ac:dyDescent="0.35">
      <c r="A18" s="1" t="s">
        <v>35</v>
      </c>
      <c r="B18" s="2">
        <v>2026</v>
      </c>
      <c r="C18" s="7">
        <v>100</v>
      </c>
      <c r="D18" s="3">
        <f t="shared" si="3"/>
        <v>9.1666666666666679</v>
      </c>
      <c r="E18" s="8">
        <v>2.75E-2</v>
      </c>
      <c r="F18" s="4">
        <f t="shared" si="2"/>
        <v>3.6666666666666674</v>
      </c>
      <c r="G18" s="8">
        <f t="shared" si="0"/>
        <v>2.75E-2</v>
      </c>
      <c r="H18" s="4">
        <f t="shared" si="1"/>
        <v>5.5</v>
      </c>
      <c r="I18" s="9">
        <v>0.16047327903332043</v>
      </c>
      <c r="J18" s="10">
        <v>5.5E-2</v>
      </c>
      <c r="K18" s="8">
        <v>3.0000000000000001E-3</v>
      </c>
      <c r="L18" s="11">
        <v>5.6784961277348271E-2</v>
      </c>
      <c r="M18" s="7">
        <v>0</v>
      </c>
      <c r="N18" s="11">
        <v>8.3550112106194549E-2</v>
      </c>
      <c r="O18" s="7">
        <v>0</v>
      </c>
      <c r="P18" s="12">
        <v>8.0236639516660213E-2</v>
      </c>
      <c r="Q18" s="13">
        <v>0</v>
      </c>
      <c r="R18" s="43">
        <v>1.6898071845283941E-2</v>
      </c>
      <c r="S18" s="13">
        <v>0</v>
      </c>
      <c r="T18" s="14">
        <v>0.4</v>
      </c>
      <c r="U18" s="5">
        <v>7.2499999999999995E-2</v>
      </c>
      <c r="V18" s="15">
        <v>0.45</v>
      </c>
    </row>
    <row r="19" spans="1:22" x14ac:dyDescent="0.35">
      <c r="A19" s="1" t="s">
        <v>36</v>
      </c>
      <c r="B19" s="2">
        <v>2026</v>
      </c>
      <c r="C19" s="7">
        <v>100</v>
      </c>
      <c r="D19" s="3">
        <f t="shared" si="3"/>
        <v>10.689655172413792</v>
      </c>
      <c r="E19" s="8">
        <v>2.7E-2</v>
      </c>
      <c r="F19" s="4">
        <f t="shared" si="2"/>
        <v>4.4896551724137925</v>
      </c>
      <c r="G19" s="8">
        <f t="shared" si="0"/>
        <v>2.7E-2</v>
      </c>
      <c r="H19" s="4">
        <f t="shared" si="1"/>
        <v>6.2</v>
      </c>
      <c r="I19" s="9">
        <v>0.16047327903332043</v>
      </c>
      <c r="J19" s="10">
        <v>6.2E-2</v>
      </c>
      <c r="K19" s="8">
        <v>3.0000000000000001E-3</v>
      </c>
      <c r="L19" s="11">
        <v>5.6784961277348271E-2</v>
      </c>
      <c r="M19" s="7">
        <v>0</v>
      </c>
      <c r="N19" s="11">
        <v>8.3550112106194549E-2</v>
      </c>
      <c r="O19" s="7">
        <v>0</v>
      </c>
      <c r="P19" s="12">
        <v>8.0236639516660213E-2</v>
      </c>
      <c r="Q19" s="13">
        <v>0</v>
      </c>
      <c r="R19" s="43">
        <v>1.6898071845283941E-2</v>
      </c>
      <c r="S19" s="13">
        <v>0</v>
      </c>
      <c r="T19" s="14">
        <v>0.42</v>
      </c>
      <c r="U19" s="6">
        <v>7.9596774193548395E-2</v>
      </c>
      <c r="V19" s="15">
        <v>0.35</v>
      </c>
    </row>
    <row r="20" spans="1:22" x14ac:dyDescent="0.35">
      <c r="A20" s="1" t="s">
        <v>37</v>
      </c>
      <c r="B20" s="2">
        <v>2026</v>
      </c>
      <c r="C20" s="7">
        <v>100</v>
      </c>
      <c r="D20" s="3">
        <f t="shared" si="3"/>
        <v>13.200000000000001</v>
      </c>
      <c r="E20" s="8">
        <v>2.5000000000000001E-2</v>
      </c>
      <c r="F20" s="4">
        <f t="shared" si="2"/>
        <v>6.6000000000000005</v>
      </c>
      <c r="G20" s="8">
        <f t="shared" si="0"/>
        <v>2.5000000000000001E-2</v>
      </c>
      <c r="H20" s="4">
        <f t="shared" si="1"/>
        <v>6.6000000000000005</v>
      </c>
      <c r="I20" s="9">
        <v>0.19233726206922458</v>
      </c>
      <c r="J20" s="10">
        <v>6.6000000000000003E-2</v>
      </c>
      <c r="K20" s="8">
        <v>3.0000000000000001E-3</v>
      </c>
      <c r="L20" s="11">
        <v>6.4535230388059014E-2</v>
      </c>
      <c r="M20" s="7">
        <v>-50</v>
      </c>
      <c r="N20" s="11">
        <v>7.7544785100327127E-2</v>
      </c>
      <c r="O20" s="7">
        <v>0</v>
      </c>
      <c r="P20" s="12">
        <v>9.616863103461229E-2</v>
      </c>
      <c r="Q20" s="13">
        <v>0</v>
      </c>
      <c r="R20" s="43">
        <v>6.5600924126257513E-3</v>
      </c>
      <c r="S20" s="13">
        <v>0</v>
      </c>
      <c r="T20" s="14">
        <v>0.5</v>
      </c>
      <c r="U20" s="6">
        <v>0.08</v>
      </c>
      <c r="V20" s="15">
        <v>0.4</v>
      </c>
    </row>
    <row r="21" spans="1:22" x14ac:dyDescent="0.35">
      <c r="A21" s="1" t="s">
        <v>38</v>
      </c>
      <c r="B21" s="2">
        <v>2026</v>
      </c>
      <c r="C21" s="7">
        <v>100</v>
      </c>
      <c r="D21" s="3">
        <f t="shared" si="3"/>
        <v>9.6923076923076916</v>
      </c>
      <c r="E21" s="8">
        <v>0.03</v>
      </c>
      <c r="F21" s="4">
        <f t="shared" si="2"/>
        <v>3.3923076923076918</v>
      </c>
      <c r="G21" s="8">
        <f t="shared" si="0"/>
        <v>0.03</v>
      </c>
      <c r="H21" s="4">
        <f t="shared" si="1"/>
        <v>6.3</v>
      </c>
      <c r="I21" s="9">
        <v>0.1874697436145995</v>
      </c>
      <c r="J21" s="10">
        <v>6.3E-2</v>
      </c>
      <c r="K21" s="8">
        <v>3.0000000000000001E-3</v>
      </c>
      <c r="L21" s="11">
        <v>4.2588720958011202E-2</v>
      </c>
      <c r="M21" s="7">
        <v>0</v>
      </c>
      <c r="N21" s="11">
        <v>6.2662584079645908E-2</v>
      </c>
      <c r="O21" s="7">
        <v>0</v>
      </c>
      <c r="P21" s="12">
        <v>9.3734871807299752E-2</v>
      </c>
      <c r="Q21" s="13">
        <v>0</v>
      </c>
      <c r="R21" s="11">
        <v>1.3518457476227153E-2</v>
      </c>
      <c r="S21" s="13">
        <v>0</v>
      </c>
      <c r="T21" s="14">
        <v>0.35</v>
      </c>
      <c r="U21" s="6">
        <v>7.8557692307692342E-2</v>
      </c>
      <c r="V21" s="15">
        <v>0.3</v>
      </c>
    </row>
    <row r="22" spans="1:22" x14ac:dyDescent="0.35">
      <c r="A22" s="1" t="s">
        <v>39</v>
      </c>
      <c r="B22" s="2">
        <v>2026</v>
      </c>
      <c r="C22" s="7">
        <v>100</v>
      </c>
      <c r="D22" s="3">
        <f t="shared" si="3"/>
        <v>7.7142857142857153</v>
      </c>
      <c r="E22" s="8">
        <v>0.03</v>
      </c>
      <c r="F22" s="4">
        <f t="shared" si="2"/>
        <v>2.3142857142857145</v>
      </c>
      <c r="G22" s="8">
        <f t="shared" si="0"/>
        <v>0.03</v>
      </c>
      <c r="H22" s="4">
        <f t="shared" si="1"/>
        <v>5.4</v>
      </c>
      <c r="I22" s="9">
        <v>0.13648400911342362</v>
      </c>
      <c r="J22" s="10">
        <v>5.3999999999999999E-2</v>
      </c>
      <c r="K22" s="8">
        <v>3.0000000000000001E-3</v>
      </c>
      <c r="L22" s="11">
        <v>7.8951133700901288E-2</v>
      </c>
      <c r="M22" s="7">
        <v>0</v>
      </c>
      <c r="N22" s="11">
        <v>0.1341080850889626</v>
      </c>
      <c r="O22" s="7">
        <v>0</v>
      </c>
      <c r="P22" s="12">
        <v>6.8242004556711811E-2</v>
      </c>
      <c r="Q22" s="13">
        <v>0</v>
      </c>
      <c r="R22" s="43">
        <v>1.8083177833674444E-2</v>
      </c>
      <c r="S22" s="13">
        <v>0</v>
      </c>
      <c r="T22" s="14">
        <v>0.3</v>
      </c>
      <c r="U22" s="6">
        <v>7.2708333333333333E-2</v>
      </c>
      <c r="V22" s="15">
        <v>0.65</v>
      </c>
    </row>
    <row r="24" spans="1:22" x14ac:dyDescent="0.35">
      <c r="E24" s="19"/>
      <c r="G24" s="19"/>
      <c r="J24" s="19"/>
      <c r="L24" s="20"/>
    </row>
    <row r="25" spans="1:22" x14ac:dyDescent="0.35">
      <c r="J25" s="19"/>
      <c r="L25" s="21"/>
    </row>
    <row r="28" spans="1:22" x14ac:dyDescent="0.35">
      <c r="H28" s="17"/>
    </row>
    <row r="29" spans="1:22" x14ac:dyDescent="0.35">
      <c r="H29" s="17"/>
      <c r="J29" s="15"/>
      <c r="K29" s="15"/>
    </row>
    <row r="30" spans="1:22" x14ac:dyDescent="0.35">
      <c r="H30" s="17"/>
      <c r="J30" s="18"/>
      <c r="K30" s="18"/>
    </row>
    <row r="31" spans="1:22" x14ac:dyDescent="0.35">
      <c r="H31" s="17"/>
      <c r="J31" s="18"/>
      <c r="K31" s="18"/>
    </row>
    <row r="32" spans="1:22" x14ac:dyDescent="0.35">
      <c r="H32" s="17"/>
      <c r="J32" s="18"/>
      <c r="K32" s="18"/>
    </row>
    <row r="33" spans="8:11" x14ac:dyDescent="0.35">
      <c r="H33" s="17"/>
      <c r="J33" s="18"/>
      <c r="K33" s="18"/>
    </row>
    <row r="34" spans="8:11" x14ac:dyDescent="0.35">
      <c r="H34" s="17"/>
      <c r="J34" s="18"/>
      <c r="K34" s="18"/>
    </row>
    <row r="35" spans="8:11" x14ac:dyDescent="0.35">
      <c r="H35" s="17"/>
      <c r="J35" s="18"/>
      <c r="K35" s="18"/>
    </row>
    <row r="36" spans="8:11" x14ac:dyDescent="0.35">
      <c r="H36" s="17"/>
      <c r="J36" s="18"/>
      <c r="K36" s="18"/>
    </row>
    <row r="37" spans="8:11" x14ac:dyDescent="0.35">
      <c r="H37" s="17"/>
      <c r="J37" s="18"/>
      <c r="K37" s="18"/>
    </row>
    <row r="38" spans="8:11" x14ac:dyDescent="0.35">
      <c r="H38" s="17"/>
      <c r="J38" s="18"/>
      <c r="K38" s="18"/>
    </row>
    <row r="39" spans="8:11" x14ac:dyDescent="0.35">
      <c r="H39" s="17"/>
      <c r="J39" s="18"/>
      <c r="K39" s="18"/>
    </row>
    <row r="40" spans="8:11" x14ac:dyDescent="0.35">
      <c r="H40" s="17"/>
      <c r="J40" s="18"/>
      <c r="K40" s="18"/>
    </row>
    <row r="41" spans="8:11" x14ac:dyDescent="0.35">
      <c r="H41" s="17"/>
      <c r="J41" s="18"/>
      <c r="K41" s="18"/>
    </row>
    <row r="42" spans="8:11" x14ac:dyDescent="0.35">
      <c r="H42" s="17"/>
      <c r="J42" s="18"/>
      <c r="K42" s="18"/>
    </row>
    <row r="43" spans="8:11" x14ac:dyDescent="0.35">
      <c r="H43" s="17"/>
      <c r="J43" s="18"/>
      <c r="K43" s="18"/>
    </row>
    <row r="44" spans="8:11" x14ac:dyDescent="0.35">
      <c r="H44" s="17"/>
      <c r="J44" s="18"/>
      <c r="K44" s="18"/>
    </row>
    <row r="45" spans="8:11" x14ac:dyDescent="0.35">
      <c r="H45" s="17"/>
      <c r="J45" s="18"/>
      <c r="K45" s="18"/>
    </row>
    <row r="46" spans="8:11" x14ac:dyDescent="0.35">
      <c r="H46" s="17"/>
      <c r="J46" s="18"/>
      <c r="K46" s="18"/>
    </row>
    <row r="47" spans="8:11" x14ac:dyDescent="0.35">
      <c r="H47" s="17"/>
      <c r="J47" s="18"/>
      <c r="K47" s="18"/>
    </row>
    <row r="48" spans="8:11" x14ac:dyDescent="0.35">
      <c r="H48" s="17"/>
      <c r="J48" s="18"/>
      <c r="K48" s="18"/>
    </row>
    <row r="49" spans="10:11" x14ac:dyDescent="0.35">
      <c r="J49" s="18"/>
      <c r="K49" s="18"/>
    </row>
    <row r="50" spans="10:11" x14ac:dyDescent="0.35">
      <c r="J50" s="18"/>
      <c r="K5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DBB-EEAE-4857-81A2-7D3883DEB14F}">
  <dimension ref="A1:O29"/>
  <sheetViews>
    <sheetView topLeftCell="B1" workbookViewId="0">
      <selection activeCell="C1" sqref="C1"/>
    </sheetView>
  </sheetViews>
  <sheetFormatPr defaultColWidth="8.7265625" defaultRowHeight="14.5" x14ac:dyDescent="0.35"/>
  <cols>
    <col min="1" max="1" width="7.54296875" hidden="1" customWidth="1"/>
    <col min="2" max="2" width="2" style="1" customWidth="1"/>
    <col min="3" max="3" width="23.1796875" style="1" bestFit="1" customWidth="1"/>
    <col min="4" max="4" width="12" style="1" bestFit="1" customWidth="1"/>
    <col min="5" max="16384" width="8.7265625" style="1"/>
  </cols>
  <sheetData>
    <row r="1" spans="1:15" ht="15" thickBot="1" x14ac:dyDescent="0.4">
      <c r="B1"/>
      <c r="C1" s="40" t="s">
        <v>21</v>
      </c>
    </row>
    <row r="2" spans="1:15" x14ac:dyDescent="0.35">
      <c r="A2" t="s">
        <v>19</v>
      </c>
    </row>
    <row r="3" spans="1:15" ht="15" thickBot="1" x14ac:dyDescent="0.4"/>
    <row r="4" spans="1:15" x14ac:dyDescent="0.35">
      <c r="C4" s="23" t="s">
        <v>49</v>
      </c>
      <c r="D4" s="26">
        <f>VLOOKUP(C1,Sheet1!$A$2:$S$22,5,FALSE)</f>
        <v>0.04</v>
      </c>
    </row>
    <row r="5" spans="1:15" x14ac:dyDescent="0.35">
      <c r="C5" s="24" t="s">
        <v>50</v>
      </c>
      <c r="D5" s="27">
        <f>VLOOKUP(C1,Sheet1!$A$2:$S$22,7,FALSE)</f>
        <v>0.03</v>
      </c>
    </row>
    <row r="6" spans="1:15" x14ac:dyDescent="0.35">
      <c r="C6" s="24" t="s">
        <v>43</v>
      </c>
      <c r="D6" s="27">
        <f>VLOOKUP(C1,Sheet1!$A$2:$S$22,9,FALSE)</f>
        <v>0.23006214435337946</v>
      </c>
    </row>
    <row r="7" spans="1:15" x14ac:dyDescent="0.35">
      <c r="C7" s="24" t="s">
        <v>45</v>
      </c>
      <c r="D7" s="27">
        <f>-E16/D13</f>
        <v>5.8500000000000003E-2</v>
      </c>
    </row>
    <row r="8" spans="1:15" x14ac:dyDescent="0.35">
      <c r="C8" s="24" t="s">
        <v>46</v>
      </c>
      <c r="D8" s="27">
        <f>VLOOKUP($C$1,Sheet1!$A$2:$S$22,11,FALSE)+D7</f>
        <v>6.1500000000000006E-2</v>
      </c>
    </row>
    <row r="9" spans="1:15" ht="15" thickBot="1" x14ac:dyDescent="0.4">
      <c r="C9" s="25" t="s">
        <v>51</v>
      </c>
      <c r="D9" s="28">
        <f>VLOOKUP(C1,Sheet1!$A$2:$S$22,6,FALSE)/VLOOKUP(C1,Sheet1!$A$2:$S$22,4,FALSE)</f>
        <v>0.5</v>
      </c>
    </row>
    <row r="11" spans="1:15" x14ac:dyDescent="0.35">
      <c r="A11" t="s">
        <v>20</v>
      </c>
      <c r="C11" s="29"/>
      <c r="D11" s="30" t="s">
        <v>53</v>
      </c>
      <c r="E11" s="30">
        <v>1</v>
      </c>
      <c r="F11" s="30">
        <f>E11+1</f>
        <v>2</v>
      </c>
      <c r="G11" s="30">
        <f t="shared" ref="G11:O11" si="0">F11+1</f>
        <v>3</v>
      </c>
      <c r="H11" s="30">
        <f t="shared" si="0"/>
        <v>4</v>
      </c>
      <c r="I11" s="30">
        <f t="shared" si="0"/>
        <v>5</v>
      </c>
      <c r="J11" s="30">
        <f t="shared" si="0"/>
        <v>6</v>
      </c>
      <c r="K11" s="30">
        <f t="shared" si="0"/>
        <v>7</v>
      </c>
      <c r="L11" s="30">
        <f t="shared" si="0"/>
        <v>8</v>
      </c>
      <c r="M11" s="30">
        <f t="shared" si="0"/>
        <v>9</v>
      </c>
      <c r="N11" s="30">
        <f t="shared" si="0"/>
        <v>10</v>
      </c>
      <c r="O11" s="30">
        <f t="shared" si="0"/>
        <v>11</v>
      </c>
    </row>
    <row r="12" spans="1:15" x14ac:dyDescent="0.35">
      <c r="A12" t="s">
        <v>21</v>
      </c>
      <c r="C12" s="29"/>
      <c r="D12" s="30"/>
      <c r="E12" s="30">
        <v>2026</v>
      </c>
      <c r="F12" s="30">
        <f>E12+1</f>
        <v>2027</v>
      </c>
      <c r="G12" s="30">
        <f t="shared" ref="G12:O12" si="1">F12+1</f>
        <v>2028</v>
      </c>
      <c r="H12" s="30">
        <f t="shared" si="1"/>
        <v>2029</v>
      </c>
      <c r="I12" s="30">
        <f t="shared" si="1"/>
        <v>2030</v>
      </c>
      <c r="J12" s="30">
        <f t="shared" si="1"/>
        <v>2031</v>
      </c>
      <c r="K12" s="30">
        <f t="shared" si="1"/>
        <v>2032</v>
      </c>
      <c r="L12" s="30">
        <f t="shared" si="1"/>
        <v>2033</v>
      </c>
      <c r="M12" s="30">
        <f t="shared" si="1"/>
        <v>2034</v>
      </c>
      <c r="N12" s="30">
        <f t="shared" si="1"/>
        <v>2035</v>
      </c>
      <c r="O12" s="30">
        <f t="shared" si="1"/>
        <v>2036</v>
      </c>
    </row>
    <row r="13" spans="1:15" x14ac:dyDescent="0.35">
      <c r="A13" t="s">
        <v>22</v>
      </c>
      <c r="C13" s="1" t="s">
        <v>54</v>
      </c>
      <c r="D13" s="34">
        <v>-100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 x14ac:dyDescent="0.35">
      <c r="A14" t="s">
        <v>23</v>
      </c>
      <c r="C14" s="1" t="s">
        <v>40</v>
      </c>
      <c r="D14" s="34"/>
      <c r="E14" s="34">
        <f>VLOOKUP(C1,Sheet1!$A$2:$S$22,4,FALSE)</f>
        <v>11.700000000000001</v>
      </c>
      <c r="F14" s="34">
        <f>E14*(1+VLOOKUP($C$1,Sheet1!$A$2:$S$22,5,FALSE))</f>
        <v>12.168000000000001</v>
      </c>
      <c r="G14" s="34">
        <f>F14*(1+VLOOKUP($C$1,Sheet1!$A$2:$S$22,5,FALSE))</f>
        <v>12.654720000000001</v>
      </c>
      <c r="H14" s="34">
        <f>G14*(1+VLOOKUP($C$1,Sheet1!$A$2:$S$22,5,FALSE))</f>
        <v>13.160908800000001</v>
      </c>
      <c r="I14" s="34">
        <f>H14*(1+VLOOKUP($C$1,Sheet1!$A$2:$S$22,5,FALSE))</f>
        <v>13.687345152000002</v>
      </c>
      <c r="J14" s="34">
        <f>I14*(1+VLOOKUP($C$1,Sheet1!$A$2:$S$22,5,FALSE))</f>
        <v>14.234838958080003</v>
      </c>
      <c r="K14" s="34">
        <f>J14*(1+VLOOKUP($C$1,Sheet1!$A$2:$S$22,5,FALSE))</f>
        <v>14.804232516403204</v>
      </c>
      <c r="L14" s="34">
        <f>K14*(1+VLOOKUP($C$1,Sheet1!$A$2:$S$22,5,FALSE))</f>
        <v>15.396401817059333</v>
      </c>
      <c r="M14" s="34">
        <f>L14*(1+VLOOKUP($C$1,Sheet1!$A$2:$S$22,5,FALSE))</f>
        <v>16.012257889741708</v>
      </c>
      <c r="N14" s="34">
        <f>M14*(1+VLOOKUP($C$1,Sheet1!$A$2:$S$22,5,FALSE))</f>
        <v>16.652748205331378</v>
      </c>
      <c r="O14" s="34">
        <f>N14*(1+VLOOKUP($C$1,Sheet1!$A$2:$S$22,5,FALSE))</f>
        <v>17.318858133544634</v>
      </c>
    </row>
    <row r="15" spans="1:15" x14ac:dyDescent="0.35">
      <c r="A15" t="s">
        <v>24</v>
      </c>
      <c r="C15" s="22" t="s">
        <v>41</v>
      </c>
      <c r="D15" s="35"/>
      <c r="E15" s="35">
        <f>VLOOKUP(C1,Sheet1!$A$2:$S$22,6,FALSE)</f>
        <v>5.8500000000000005</v>
      </c>
      <c r="F15" s="35">
        <f>E15*(1+VLOOKUP($C$1,Sheet1!$A$2:$S$22,7,FALSE))</f>
        <v>6.025500000000001</v>
      </c>
      <c r="G15" s="35">
        <f>F15*(1+VLOOKUP($C$1,Sheet1!$A$2:$S$22,7,FALSE))</f>
        <v>6.206265000000001</v>
      </c>
      <c r="H15" s="35">
        <f>G15*(1+VLOOKUP($C$1,Sheet1!$A$2:$S$22,7,FALSE))</f>
        <v>6.3924529500000009</v>
      </c>
      <c r="I15" s="35">
        <f>H15*(1+VLOOKUP($C$1,Sheet1!$A$2:$S$22,7,FALSE))</f>
        <v>6.5842265385000012</v>
      </c>
      <c r="J15" s="35">
        <f>I15*(1+VLOOKUP($C$1,Sheet1!$A$2:$S$22,7,FALSE))</f>
        <v>6.7817533346550016</v>
      </c>
      <c r="K15" s="35">
        <f>J15*(1+VLOOKUP($C$1,Sheet1!$A$2:$S$22,7,FALSE))</f>
        <v>6.985205934694652</v>
      </c>
      <c r="L15" s="35">
        <f>K15*(1+VLOOKUP($C$1,Sheet1!$A$2:$S$22,7,FALSE))</f>
        <v>7.1947621127354919</v>
      </c>
      <c r="M15" s="35">
        <f>L15*(1+VLOOKUP($C$1,Sheet1!$A$2:$S$22,7,FALSE))</f>
        <v>7.4106049761175568</v>
      </c>
      <c r="N15" s="35">
        <f>M15*(1+VLOOKUP($C$1,Sheet1!$A$2:$S$22,7,FALSE))</f>
        <v>7.6329231254010841</v>
      </c>
      <c r="O15" s="35">
        <f>N15*(1+VLOOKUP($C$1,Sheet1!$A$2:$S$22,7,FALSE))</f>
        <v>7.8619108191631168</v>
      </c>
    </row>
    <row r="16" spans="1:15" x14ac:dyDescent="0.35">
      <c r="A16" t="s">
        <v>25</v>
      </c>
      <c r="C16" s="32" t="s">
        <v>42</v>
      </c>
      <c r="D16" s="36"/>
      <c r="E16" s="36">
        <f>E14-E15</f>
        <v>5.8500000000000005</v>
      </c>
      <c r="F16" s="36">
        <f t="shared" ref="F16:O16" si="2">F14-F15</f>
        <v>6.1425000000000001</v>
      </c>
      <c r="G16" s="36">
        <f t="shared" si="2"/>
        <v>6.448455</v>
      </c>
      <c r="H16" s="36">
        <f t="shared" si="2"/>
        <v>6.7684558500000005</v>
      </c>
      <c r="I16" s="36">
        <f t="shared" si="2"/>
        <v>7.1031186135000013</v>
      </c>
      <c r="J16" s="36">
        <f t="shared" si="2"/>
        <v>7.4530856234250011</v>
      </c>
      <c r="K16" s="36">
        <f t="shared" si="2"/>
        <v>7.8190265817085516</v>
      </c>
      <c r="L16" s="36">
        <f t="shared" si="2"/>
        <v>8.201639704323842</v>
      </c>
      <c r="M16" s="36">
        <f t="shared" si="2"/>
        <v>8.6016529136241502</v>
      </c>
      <c r="N16" s="36">
        <f t="shared" si="2"/>
        <v>9.0198250799302926</v>
      </c>
      <c r="O16" s="36">
        <f t="shared" si="2"/>
        <v>9.4569473143815159</v>
      </c>
    </row>
    <row r="17" spans="1:15" x14ac:dyDescent="0.35">
      <c r="A17" t="s">
        <v>26</v>
      </c>
      <c r="C17" s="1" t="s">
        <v>43</v>
      </c>
      <c r="D17" s="34"/>
      <c r="E17" s="34">
        <f>VLOOKUP($C$1,Sheet1!$A$2:$S$22,9,FALSE)*E16</f>
        <v>1.34586354446727</v>
      </c>
      <c r="F17" s="34">
        <f>VLOOKUP($C$1,Sheet1!$A$2:$S$22,9,FALSE)*F16</f>
        <v>1.4131567216906333</v>
      </c>
      <c r="G17" s="34">
        <f>VLOOKUP($C$1,Sheet1!$A$2:$S$22,9,FALSE)*G16</f>
        <v>1.4835453850662716</v>
      </c>
      <c r="H17" s="34">
        <f>VLOOKUP($C$1,Sheet1!$A$2:$S$22,9,FALSE)*H16</f>
        <v>1.5571654668121757</v>
      </c>
      <c r="I17" s="34">
        <f>VLOOKUP($C$1,Sheet1!$A$2:$S$22,9,FALSE)*I16</f>
        <v>1.6341586998182138</v>
      </c>
      <c r="J17" s="34">
        <f>VLOOKUP($C$1,Sheet1!$A$2:$S$22,9,FALSE)*J16</f>
        <v>1.7146728605744999</v>
      </c>
      <c r="K17" s="34">
        <f>VLOOKUP($C$1,Sheet1!$A$2:$S$22,9,FALSE)*K16</f>
        <v>1.798862022143944</v>
      </c>
      <c r="L17" s="34">
        <f>VLOOKUP($C$1,Sheet1!$A$2:$S$22,9,FALSE)*L16</f>
        <v>1.8868868175905602</v>
      </c>
      <c r="M17" s="34">
        <f>VLOOKUP($C$1,Sheet1!$A$2:$S$22,9,FALSE)*M16</f>
        <v>1.9789147142918662</v>
      </c>
      <c r="N17" s="34">
        <f>VLOOKUP($C$1,Sheet1!$A$2:$S$22,9,FALSE)*N16</f>
        <v>2.0751202995811555</v>
      </c>
      <c r="O17" s="34">
        <f>VLOOKUP($C$1,Sheet1!$A$2:$S$22,9,FALSE)*O16</f>
        <v>2.1756855781835447</v>
      </c>
    </row>
    <row r="18" spans="1:15" x14ac:dyDescent="0.35">
      <c r="A18" t="s">
        <v>27</v>
      </c>
      <c r="C18" s="1" t="s">
        <v>44</v>
      </c>
      <c r="D18" s="34"/>
      <c r="E18" s="34">
        <f>E16-E17</f>
        <v>4.5041364555327306</v>
      </c>
      <c r="F18" s="34">
        <f t="shared" ref="F18:O18" si="3">F16-F17</f>
        <v>4.7293432783093667</v>
      </c>
      <c r="G18" s="34">
        <f t="shared" si="3"/>
        <v>4.9649096149337284</v>
      </c>
      <c r="H18" s="34">
        <f t="shared" si="3"/>
        <v>5.2112903831878246</v>
      </c>
      <c r="I18" s="34">
        <f t="shared" si="3"/>
        <v>5.4689599136817879</v>
      </c>
      <c r="J18" s="34">
        <f t="shared" si="3"/>
        <v>5.7384127628505013</v>
      </c>
      <c r="K18" s="34">
        <f t="shared" si="3"/>
        <v>6.0201645595646074</v>
      </c>
      <c r="L18" s="34">
        <f t="shared" si="3"/>
        <v>6.3147528867332818</v>
      </c>
      <c r="M18" s="34">
        <f t="shared" si="3"/>
        <v>6.622738199332284</v>
      </c>
      <c r="N18" s="34">
        <f t="shared" si="3"/>
        <v>6.9447047803491371</v>
      </c>
      <c r="O18" s="34">
        <f t="shared" si="3"/>
        <v>7.2812617361979708</v>
      </c>
    </row>
    <row r="19" spans="1:15" x14ac:dyDescent="0.35">
      <c r="A19" t="s">
        <v>29</v>
      </c>
      <c r="C19" s="1" t="s">
        <v>55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>
        <f>O16/D8</f>
        <v>153.7715010468539</v>
      </c>
      <c r="O19" s="34"/>
    </row>
    <row r="20" spans="1:15" x14ac:dyDescent="0.35">
      <c r="A20" t="s">
        <v>30</v>
      </c>
      <c r="C20" s="33" t="s">
        <v>47</v>
      </c>
      <c r="D20" s="37">
        <f>D13</f>
        <v>-100</v>
      </c>
      <c r="E20" s="37">
        <f t="shared" ref="E20:M20" si="4">E18</f>
        <v>4.5041364555327306</v>
      </c>
      <c r="F20" s="37">
        <f t="shared" si="4"/>
        <v>4.7293432783093667</v>
      </c>
      <c r="G20" s="37">
        <f t="shared" si="4"/>
        <v>4.9649096149337284</v>
      </c>
      <c r="H20" s="37">
        <f t="shared" si="4"/>
        <v>5.2112903831878246</v>
      </c>
      <c r="I20" s="37">
        <f t="shared" si="4"/>
        <v>5.4689599136817879</v>
      </c>
      <c r="J20" s="37">
        <f t="shared" si="4"/>
        <v>5.7384127628505013</v>
      </c>
      <c r="K20" s="37">
        <f t="shared" si="4"/>
        <v>6.0201645595646074</v>
      </c>
      <c r="L20" s="37">
        <f t="shared" si="4"/>
        <v>6.3147528867332818</v>
      </c>
      <c r="M20" s="37">
        <f t="shared" si="4"/>
        <v>6.622738199332284</v>
      </c>
      <c r="N20" s="37">
        <f>N18+N19</f>
        <v>160.71620582720303</v>
      </c>
      <c r="O20" s="34"/>
    </row>
    <row r="21" spans="1:15" x14ac:dyDescent="0.35">
      <c r="A21" t="s">
        <v>31</v>
      </c>
      <c r="C21" s="22"/>
      <c r="D21" s="3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t="s">
        <v>32</v>
      </c>
      <c r="C22" s="38" t="s">
        <v>48</v>
      </c>
      <c r="D22" s="39">
        <f>IRR(D20:N20)</f>
        <v>9.0018997271068768E-2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t="s">
        <v>33</v>
      </c>
      <c r="C23" s="41" t="s">
        <v>52</v>
      </c>
      <c r="D23" s="42">
        <f>VLOOKUP(C1,Sheet1!$A$2:$U$22,21,FALSE)</f>
        <v>8.3026315789473684E-2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t="s">
        <v>34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t="s">
        <v>35</v>
      </c>
    </row>
    <row r="26" spans="1:15" x14ac:dyDescent="0.35">
      <c r="A26" t="s">
        <v>36</v>
      </c>
    </row>
    <row r="27" spans="1:15" x14ac:dyDescent="0.35">
      <c r="A27" t="s">
        <v>37</v>
      </c>
    </row>
    <row r="28" spans="1:15" x14ac:dyDescent="0.35">
      <c r="A28" t="s">
        <v>38</v>
      </c>
    </row>
    <row r="29" spans="1:15" x14ac:dyDescent="0.35">
      <c r="A29" t="s">
        <v>39</v>
      </c>
    </row>
  </sheetData>
  <dataValidations count="1">
    <dataValidation type="list" allowBlank="1" showInputMessage="1" showErrorMessage="1" promptTitle="Select Sector" sqref="C1" xr:uid="{7B0D4BEC-53EE-49D0-9EB0-9EA5F0404DE3}">
      <formula1>$A$2:$A$29</formula1>
    </dataValidation>
  </dataValidations>
  <pageMargins left="0.7" right="0.7" top="0.75" bottom="0.75" header="0.3" footer="0.3"/>
  <ignoredErrors>
    <ignoredError sqref="E17:O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Steinberg, Michael</dc:creator>
  <cp:lastModifiedBy>Michael Steinberg</cp:lastModifiedBy>
  <dcterms:created xsi:type="dcterms:W3CDTF">2025-02-21T20:43:52Z</dcterms:created>
  <dcterms:modified xsi:type="dcterms:W3CDTF">2026-07-16T02:59:18Z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2026-03-27T14:29:20Z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f37c1830-39aa-4b3d-ad1c-9ff6926b96a8</vt:lpwstr>
  </property>
  <property fmtid="{D5CDD505-2E9C-101B-9397-08002B2CF9AE}" pid="8" name="MSIP_Label_f8a4e946-8729-44db-9533-8e74969be952_ContentBits">
    <vt:lpwstr>0</vt:lpwstr>
  </property>
  <property fmtid="{D5CDD505-2E9C-101B-9397-08002B2CF9AE}" pid="9" name="MSIP_Label_f8a4e946-8729-44db-9533-8e74969be952_Tag">
    <vt:lpwstr>10, 3, 0, 1</vt:lpwstr>
  </property>
</Properties>
</file>